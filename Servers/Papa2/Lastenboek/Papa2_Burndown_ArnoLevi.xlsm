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no\Documents\GitHub\p3ops-1920-red\Servers\Papa2\Lastenboek\"/>
    </mc:Choice>
  </mc:AlternateContent>
  <xr:revisionPtr revIDLastSave="0" documentId="13_ncr:1_{797CB67D-B4AD-458B-A809-E8DBCDCA9BF5}" xr6:coauthVersionLast="41" xr6:coauthVersionMax="41" xr10:uidLastSave="{00000000-0000-0000-0000-000000000000}"/>
  <workbookProtection workbookPassword="B126" lockStructure="1"/>
  <bookViews>
    <workbookView xWindow="-108" yWindow="-108" windowWidth="23256" windowHeight="12576" activeTab="1" xr2:uid="{00000000-000D-0000-FFFF-FFFF00000000}"/>
  </bookViews>
  <sheets>
    <sheet name="Burndown Chart" sheetId="1" r:id="rId1"/>
    <sheet name="Input" sheetId="3" r:id="rId2"/>
    <sheet name="Final Data" sheetId="4" state="veryHidden" r:id="rId3"/>
  </sheets>
  <functionGroups builtInGroupCount="19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F3" i="4" l="1"/>
  <c r="K3" i="4"/>
  <c r="O3" i="4"/>
  <c r="C3" i="4"/>
  <c r="G3" i="4"/>
  <c r="L3" i="4"/>
  <c r="P3" i="4"/>
  <c r="D3" i="4"/>
  <c r="I3" i="4"/>
  <c r="M3" i="4"/>
  <c r="Q3" i="4"/>
  <c r="E3" i="4"/>
  <c r="J3" i="4"/>
  <c r="N3" i="4"/>
  <c r="R3" i="4"/>
  <c r="H3" i="4"/>
  <c r="Y3" i="4"/>
  <c r="AG3" i="4"/>
  <c r="AO3" i="4"/>
  <c r="AW3" i="4"/>
  <c r="BE3" i="4"/>
  <c r="V3" i="4"/>
  <c r="AD3" i="4"/>
  <c r="AL3" i="4"/>
  <c r="AP3" i="4"/>
  <c r="AX3" i="4"/>
  <c r="BF3" i="4"/>
  <c r="BJ3" i="4"/>
  <c r="W3" i="4"/>
  <c r="AA3" i="4"/>
  <c r="AE3" i="4"/>
  <c r="AI3" i="4"/>
  <c r="AM3" i="4"/>
  <c r="AQ3" i="4"/>
  <c r="AU3" i="4"/>
  <c r="AY3" i="4"/>
  <c r="BC3" i="4"/>
  <c r="BG3" i="4"/>
  <c r="U3" i="4"/>
  <c r="AC3" i="4"/>
  <c r="AK3" i="4"/>
  <c r="AS3" i="4"/>
  <c r="BA3" i="4"/>
  <c r="BI3" i="4"/>
  <c r="Z3" i="4"/>
  <c r="AH3" i="4"/>
  <c r="AT3" i="4"/>
  <c r="BB3" i="4"/>
  <c r="T3" i="4"/>
  <c r="X3" i="4"/>
  <c r="AB3" i="4"/>
  <c r="AF3" i="4"/>
  <c r="AJ3" i="4"/>
  <c r="AN3" i="4"/>
  <c r="AR3" i="4"/>
  <c r="AV3" i="4"/>
  <c r="AZ3" i="4"/>
  <c r="BD3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AM2" i="4" s="1"/>
  <c r="AN2" i="4" s="1"/>
  <c r="AO2" i="4" s="1"/>
  <c r="AP2" i="4" s="1"/>
  <c r="AQ2" i="4" s="1"/>
  <c r="AR2" i="4" s="1"/>
  <c r="AS2" i="4" s="1"/>
  <c r="AT2" i="4" s="1"/>
  <c r="AU2" i="4" s="1"/>
  <c r="AV2" i="4" s="1"/>
  <c r="AW2" i="4" s="1"/>
  <c r="AX2" i="4" s="1"/>
  <c r="AY2" i="4" s="1"/>
  <c r="AZ2" i="4" s="1"/>
  <c r="BA2" i="4" s="1"/>
  <c r="BB2" i="4" s="1"/>
  <c r="BC2" i="4" s="1"/>
  <c r="BD2" i="4" s="1"/>
  <c r="BE2" i="4" s="1"/>
  <c r="BF2" i="4" s="1"/>
  <c r="BG2" i="4" s="1"/>
  <c r="BH2" i="4" s="1"/>
  <c r="BI2" i="4" s="1"/>
  <c r="BJ2" i="4" s="1"/>
  <c r="S3" i="4"/>
  <c r="AT4" i="4"/>
  <c r="AF4" i="4"/>
  <c r="U4" i="4"/>
  <c r="BA4" i="4"/>
  <c r="AM4" i="4"/>
  <c r="AH4" i="4"/>
  <c r="T4" i="4"/>
  <c r="AZ4" i="4"/>
  <c r="AO4" i="4"/>
  <c r="AI4" i="4"/>
  <c r="AD4" i="4"/>
  <c r="AV4" i="4"/>
  <c r="W4" i="4"/>
  <c r="BC4" i="4"/>
  <c r="AJ4" i="4"/>
  <c r="Y4" i="4"/>
  <c r="R4" i="4"/>
  <c r="Q4" i="4"/>
  <c r="AE4" i="4"/>
  <c r="AR4" i="4"/>
  <c r="BG4" i="4"/>
  <c r="V4" i="4"/>
  <c r="BB4" i="4"/>
  <c r="AN4" i="4"/>
  <c r="AC4" i="4"/>
  <c r="BI4" i="4"/>
  <c r="AU4" i="4"/>
  <c r="AP4" i="4"/>
  <c r="AB4" i="4"/>
  <c r="BH4" i="4"/>
  <c r="AW4" i="4"/>
  <c r="AQ4" i="4"/>
  <c r="BJ4" i="4"/>
  <c r="AK4" i="4"/>
  <c r="AX4" i="4"/>
  <c r="BE4" i="4"/>
  <c r="AY4" i="4"/>
  <c r="AL4" i="4"/>
  <c r="X4" i="4"/>
  <c r="BD4" i="4"/>
  <c r="AS4" i="4"/>
  <c r="Z4" i="4"/>
  <c r="BF4" i="4"/>
  <c r="AG4" i="4"/>
  <c r="AA4" i="4"/>
  <c r="L4" i="4"/>
  <c r="O4" i="4"/>
  <c r="I4" i="4"/>
  <c r="D4" i="4"/>
  <c r="G4" i="4"/>
  <c r="J4" i="4"/>
  <c r="H4" i="4"/>
  <c r="E4" i="4"/>
  <c r="C4" i="4"/>
  <c r="F4" i="4"/>
  <c r="M4" i="4"/>
  <c r="P4" i="4"/>
  <c r="N4" i="4"/>
  <c r="K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AC5" i="4" s="1"/>
  <c r="AD5" i="4" s="1"/>
  <c r="AE5" i="4" s="1"/>
  <c r="AF5" i="4" s="1"/>
  <c r="AG5" i="4" s="1"/>
  <c r="AH5" i="4" s="1"/>
  <c r="AI5" i="4" s="1"/>
  <c r="AJ5" i="4" s="1"/>
  <c r="AK5" i="4" s="1"/>
  <c r="AL5" i="4" s="1"/>
  <c r="AM5" i="4" s="1"/>
  <c r="AN5" i="4" s="1"/>
  <c r="AO5" i="4" s="1"/>
  <c r="AP5" i="4" s="1"/>
  <c r="AQ5" i="4" s="1"/>
  <c r="AR5" i="4" s="1"/>
  <c r="AS5" i="4" s="1"/>
  <c r="AT5" i="4" s="1"/>
  <c r="AU5" i="4" s="1"/>
  <c r="AV5" i="4" s="1"/>
  <c r="AW5" i="4" s="1"/>
  <c r="AX5" i="4" s="1"/>
  <c r="AY5" i="4" s="1"/>
  <c r="AZ5" i="4" s="1"/>
  <c r="BA5" i="4" s="1"/>
  <c r="BB5" i="4" s="1"/>
  <c r="BC5" i="4" s="1"/>
  <c r="BD5" i="4" s="1"/>
  <c r="BE5" i="4" s="1"/>
  <c r="BF5" i="4" s="1"/>
  <c r="BG5" i="4" s="1"/>
  <c r="BH5" i="4" s="1"/>
  <c r="BI5" i="4" s="1"/>
  <c r="BJ5" i="4" s="1"/>
</calcChain>
</file>

<file path=xl/sharedStrings.xml><?xml version="1.0" encoding="utf-8"?>
<sst xmlns="http://schemas.openxmlformats.org/spreadsheetml/2006/main" count="16" uniqueCount="16">
  <si>
    <t>Planned Effort</t>
  </si>
  <si>
    <t>Date</t>
  </si>
  <si>
    <t>Hours Remaining</t>
  </si>
  <si>
    <t>Day 0</t>
  </si>
  <si>
    <t>Burndown Chart</t>
  </si>
  <si>
    <t>Completed Tasks</t>
  </si>
  <si>
    <t>Remaining Tasks</t>
  </si>
  <si>
    <t>Customize the Legend</t>
  </si>
  <si>
    <t>Task / Story / Sprints</t>
  </si>
  <si>
    <t>Opstellen script en server configuratie</t>
  </si>
  <si>
    <t>SSCM installeren</t>
  </si>
  <si>
    <t>SSCM Opstart deploy</t>
  </si>
  <si>
    <t>Opzoeken + inbregen van msi files + windows client</t>
  </si>
  <si>
    <t>Uitrollen clients</t>
  </si>
  <si>
    <t>Testen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</si>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</sst>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dd\-mmm\-yy;@"/>
    <numFmt numFmtId="165" formatCode="[$-409]d\-mmm\-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1E6D41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3" borderId="0" xfId="0" applyFont="1" applyFill="1"/>
    <xf numFmtId="0" fontId="0" fillId="0" borderId="0" xfId="0" applyAlignment="1">
      <alignment horizontal="center"/>
    </xf>
    <xf numFmtId="0" fontId="3" fillId="2" borderId="0" xfId="0" applyFont="1" applyFill="1" applyAlignment="1" applyProtection="1">
      <alignment horizontal="center"/>
    </xf>
    <xf numFmtId="0" fontId="3" fillId="0" borderId="0" xfId="0" applyFont="1" applyAlignment="1" applyProtection="1"/>
    <xf numFmtId="0" fontId="0" fillId="0" borderId="0" xfId="0" applyAlignment="1"/>
  </cellXfs>
  <cellStyles count="1">
    <cellStyle name="Standaard" xfId="0" builtinId="0"/>
  </cellStyles>
  <dxfs count="3">
    <dxf>
      <fill>
        <patternFill>
          <bgColor rgb="FFFFC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2AA9F93E-B9C7-4D7A-91AE-C190A895C1A1}">
      <tableStyleElement type="wholeTable" dxfId="2"/>
      <tableStyleElement type="headerRow" dxfId="1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-1.1546319456101628E-14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6-445C-85FF-179B7F4EEDE6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6-445C-85FF-179B7F4EE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AC-4D96-A5DE-03A116757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-1.1546319456101628E-14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AC-4D96-A5DE-03A116757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3-4CFC-9AA0-0476CB72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-1.1546319456101628E-14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03-4CFC-9AA0-0476CB72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Burndown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Planned Effort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-1.1546319456101628E-14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1-47CD-91BA-0517B36B8E6C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Hours Remaining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15"/>
                <c:pt idx="0">
                  <c:v>Day 0</c:v>
                </c:pt>
                <c:pt idx="1">
                  <c:v>23-Sep-19</c:v>
                </c:pt>
                <c:pt idx="2">
                  <c:v>30-Sep-19</c:v>
                </c:pt>
                <c:pt idx="3">
                  <c:v>7-Oct-19</c:v>
                </c:pt>
                <c:pt idx="4">
                  <c:v>14-Oct-19</c:v>
                </c:pt>
                <c:pt idx="5">
                  <c:v>21-Oct-19</c:v>
                </c:pt>
                <c:pt idx="6">
                  <c:v>28-Oct-19</c:v>
                </c:pt>
                <c:pt idx="7">
                  <c:v>4-Nov-19</c:v>
                </c:pt>
                <c:pt idx="8">
                  <c:v>11-Nov-19</c:v>
                </c:pt>
                <c:pt idx="9">
                  <c:v>18-Nov-19</c:v>
                </c:pt>
                <c:pt idx="10">
                  <c:v>25-Nov-19</c:v>
                </c:pt>
                <c:pt idx="11">
                  <c:v>2-Dec-19</c:v>
                </c:pt>
                <c:pt idx="12">
                  <c:v>9-Dec-19</c:v>
                </c:pt>
                <c:pt idx="13">
                  <c:v>16-Dec-19</c:v>
                </c:pt>
                <c:pt idx="14">
                  <c:v>23-Dec-19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1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1-47CD-91BA-0517B36B8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eforexcel.com/wp" TargetMode="Externa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175260</xdr:rowOff>
    </xdr:from>
    <xdr:to>
      <xdr:col>10</xdr:col>
      <xdr:colOff>76200</xdr:colOff>
      <xdr:row>22</xdr:row>
      <xdr:rowOff>146685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521040</xdr:colOff>
      <xdr:row>2</xdr:row>
      <xdr:rowOff>21336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49840" cy="402336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18</xdr:col>
      <xdr:colOff>590550</xdr:colOff>
      <xdr:row>2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96250" y="0"/>
          <a:ext cx="424815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You can customize</a:t>
          </a:r>
          <a:r>
            <a:rPr lang="en-US" sz="1100" b="1" baseline="0"/>
            <a:t> your Legend. For example, Planned Effort can be Planned Burndown, Planned Stories.....</a:t>
          </a:r>
          <a:endParaRPr lang="en-US" sz="1100" b="1"/>
        </a:p>
      </xdr:txBody>
    </xdr:sp>
    <xdr:clientData/>
  </xdr:twoCellAnchor>
  <xdr:twoCellAnchor>
    <xdr:from>
      <xdr:col>11</xdr:col>
      <xdr:colOff>260985</xdr:colOff>
      <xdr:row>4</xdr:row>
      <xdr:rowOff>7620</xdr:rowOff>
    </xdr:from>
    <xdr:to>
      <xdr:col>20</xdr:col>
      <xdr:colOff>112395</xdr:colOff>
      <xdr:row>22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43814</xdr:colOff>
      <xdr:row>23</xdr:row>
      <xdr:rowOff>180975</xdr:rowOff>
    </xdr:from>
    <xdr:to>
      <xdr:col>10</xdr:col>
      <xdr:colOff>7620</xdr:colOff>
      <xdr:row>42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68580</xdr:colOff>
      <xdr:row>60</xdr:row>
      <xdr:rowOff>13335</xdr:rowOff>
    </xdr:from>
    <xdr:to>
      <xdr:col>10</xdr:col>
      <xdr:colOff>129540</xdr:colOff>
      <xdr:row>78</xdr:row>
      <xdr:rowOff>167640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121920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nl-NL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L3"/>
  <sheetViews>
    <sheetView topLeftCell="A26" workbookViewId="0">
      <selection activeCell="N26" sqref="N26"/>
    </sheetView>
  </sheetViews>
  <sheetFormatPr defaultRowHeight="14.4" x14ac:dyDescent="0.3"/>
  <cols>
    <col min="11" max="11" width="2.5546875" customWidth="1"/>
    <col min="12" max="12" width="20.88671875" bestFit="1" customWidth="1"/>
  </cols>
  <sheetData>
    <row r="1" spans="4:12" x14ac:dyDescent="0.3">
      <c r="D1" s="11" t="s">
        <v>4</v>
      </c>
      <c r="E1" s="12"/>
      <c r="F1" s="12"/>
      <c r="G1" s="12"/>
      <c r="H1" s="12"/>
      <c r="I1" s="12"/>
      <c r="J1" s="13"/>
      <c r="L1" s="9" t="s">
        <v>7</v>
      </c>
    </row>
    <row r="2" spans="4:12" x14ac:dyDescent="0.3">
      <c r="D2" s="12"/>
      <c r="E2" s="12"/>
      <c r="F2" s="12"/>
      <c r="G2" s="12"/>
      <c r="H2" s="12"/>
      <c r="I2" s="12"/>
      <c r="J2" s="13"/>
      <c r="L2" s="1" t="s">
        <v>0</v>
      </c>
    </row>
    <row r="3" spans="4:12" x14ac:dyDescent="0.3">
      <c r="L3" s="1" t="s">
        <v>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O203"/>
  <sheetViews>
    <sheetView tabSelected="1" workbookViewId="0">
      <pane ySplit="2" topLeftCell="A3" activePane="bottomLeft" state="frozen"/>
      <selection pane="bottomLeft" activeCell="D8" sqref="D8"/>
    </sheetView>
  </sheetViews>
  <sheetFormatPr defaultColWidth="11.6640625" defaultRowHeight="14.4" zeroHeight="1" x14ac:dyDescent="0.3"/>
  <cols>
    <col min="1" max="1" width="42.21875" customWidth="1"/>
    <col min="2" max="2" width="13.88671875" customWidth="1"/>
    <col min="3" max="16" width="14.6640625" customWidth="1"/>
    <col min="17" max="42" width="9.109375" customWidth="1"/>
  </cols>
  <sheetData>
    <row r="1" spans="1:93" ht="60" customHeight="1" x14ac:dyDescent="0.3">
      <c r="B1" s="10" t="s">
        <v>15</v>
      </c>
    </row>
    <row r="2" spans="1:93" s="1" customFormat="1" x14ac:dyDescent="0.3">
      <c r="A2" s="5" t="s">
        <v>8</v>
      </c>
      <c r="B2" s="5" t="str">
        <f>IF('Burndown Chart'!$L$2="","Planned Effort",'Burndown Chart'!$L$2)</f>
        <v>Planned Effort</v>
      </c>
      <c r="C2" s="5">
        <v>43731</v>
      </c>
      <c r="D2" s="5">
        <v>43738</v>
      </c>
      <c r="E2" s="5">
        <v>43745</v>
      </c>
      <c r="F2" s="5">
        <v>43752</v>
      </c>
      <c r="G2" s="5">
        <v>43759</v>
      </c>
      <c r="H2" s="5">
        <v>43766</v>
      </c>
      <c r="I2" s="5">
        <v>43773</v>
      </c>
      <c r="J2" s="5">
        <v>43780</v>
      </c>
      <c r="K2" s="5">
        <v>43787</v>
      </c>
      <c r="L2" s="5">
        <v>43794</v>
      </c>
      <c r="M2" s="5">
        <v>43801</v>
      </c>
      <c r="N2" s="5">
        <v>43808</v>
      </c>
      <c r="O2" s="5">
        <v>43815</v>
      </c>
      <c r="P2" s="5">
        <v>43822</v>
      </c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x14ac:dyDescent="0.3">
      <c r="A3" t="s">
        <v>9</v>
      </c>
      <c r="B3">
        <v>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93" x14ac:dyDescent="0.3">
      <c r="A4" t="s">
        <v>10</v>
      </c>
      <c r="B4">
        <v>2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93" x14ac:dyDescent="0.3">
      <c r="A5" t="s">
        <v>11</v>
      </c>
      <c r="B5">
        <v>4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93" x14ac:dyDescent="0.3">
      <c r="A6" t="s">
        <v>12</v>
      </c>
      <c r="B6">
        <v>20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93" x14ac:dyDescent="0.3">
      <c r="A7" t="s">
        <v>13</v>
      </c>
      <c r="B7">
        <v>3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93" x14ac:dyDescent="0.3">
      <c r="A8" t="s">
        <v>14</v>
      </c>
      <c r="B8">
        <v>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93" x14ac:dyDescent="0.3"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93" x14ac:dyDescent="0.3"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93" x14ac:dyDescent="0.3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93" x14ac:dyDescent="0.3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93" x14ac:dyDescent="0.3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93" x14ac:dyDescent="0.3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93" x14ac:dyDescent="0.3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93" x14ac:dyDescent="0.3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3:62" x14ac:dyDescent="0.3"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3:62" x14ac:dyDescent="0.3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3:62" x14ac:dyDescent="0.3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3:62" x14ac:dyDescent="0.3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3:62" x14ac:dyDescent="0.3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3:62" x14ac:dyDescent="0.3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3:62" x14ac:dyDescent="0.3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3:62" x14ac:dyDescent="0.3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3:62" x14ac:dyDescent="0.3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3:62" x14ac:dyDescent="0.3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3:62" x14ac:dyDescent="0.3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3:62" x14ac:dyDescent="0.3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3:62" x14ac:dyDescent="0.3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3:62" x14ac:dyDescent="0.3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3:62" x14ac:dyDescent="0.3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3:62" x14ac:dyDescent="0.3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3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3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3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3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3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3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3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3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3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3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3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3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3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3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3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3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3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3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3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3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3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3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3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3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3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3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3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3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3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3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3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3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3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3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3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3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3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3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3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3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3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3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3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3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3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3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3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3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3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3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3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3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3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3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3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3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3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3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3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3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3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3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3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3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3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3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3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3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3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3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3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3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3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3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3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3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3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3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3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3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3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3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3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3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3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3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3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3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3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3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3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3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3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3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3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3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3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3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3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3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3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3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3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3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3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3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3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3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3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3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3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3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3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3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3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3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3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3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3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3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3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3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3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3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3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3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3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3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3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3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3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3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3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3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3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3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3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3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3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3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3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3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3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3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3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3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3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3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3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3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3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3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3"/>
  </sheetData>
  <conditionalFormatting sqref="C2:CO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CO2" xr:uid="{00000000-0002-0000-0100-000000000000}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 xr:uid="{00000000-0002-0000-0100-000001000000}">
      <formula1>0</formula1>
    </dataValidation>
    <dataValidation type="custom" showInputMessage="1" showErrorMessage="1" errorTitle="Input Error" error="Read the Validations Rules to Input Right Data" sqref="C3:BJ202" xr:uid="{00000000-0002-0000-0100-000002000000}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121920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J14"/>
  <sheetViews>
    <sheetView workbookViewId="0">
      <selection activeCell="A2" sqref="A2"/>
    </sheetView>
  </sheetViews>
  <sheetFormatPr defaultColWidth="0" defaultRowHeight="14.4" x14ac:dyDescent="0.3"/>
  <cols>
    <col min="1" max="1" width="16" style="1" bestFit="1" customWidth="1"/>
    <col min="2" max="2" width="9.44140625" style="2" customWidth="1"/>
    <col min="3" max="62" width="9.109375" customWidth="1"/>
    <col min="63" max="16384" width="9.109375" hidden="1"/>
  </cols>
  <sheetData>
    <row r="1" spans="1:62" s="1" customFormat="1" x14ac:dyDescent="0.3">
      <c r="A1" s="1" t="s">
        <v>1</v>
      </c>
      <c r="B1" s="1" t="s">
        <v>3</v>
      </c>
      <c r="C1" s="8">
        <f>IF(Input!C$2="","",Input!C$2)</f>
        <v>43731</v>
      </c>
      <c r="D1" s="8">
        <f>IF(Input!D$2="","",Input!D$2)</f>
        <v>43738</v>
      </c>
      <c r="E1" s="8">
        <f>IF(Input!E$2="","",Input!E$2)</f>
        <v>43745</v>
      </c>
      <c r="F1" s="8">
        <f>IF(Input!F$2="","",Input!F$2)</f>
        <v>43752</v>
      </c>
      <c r="G1" s="8">
        <f>IF(Input!G$2="","",Input!G$2)</f>
        <v>43759</v>
      </c>
      <c r="H1" s="8">
        <f>IF(Input!H$2="","",Input!H$2)</f>
        <v>43766</v>
      </c>
      <c r="I1" s="8">
        <f>IF(Input!I$2="","",Input!I$2)</f>
        <v>43773</v>
      </c>
      <c r="J1" s="8">
        <f>IF(Input!J$2="","",Input!J$2)</f>
        <v>43780</v>
      </c>
      <c r="K1" s="8">
        <f>IF(Input!K$2="","",Input!K$2)</f>
        <v>43787</v>
      </c>
      <c r="L1" s="8">
        <f>IF(Input!L$2="","",Input!L$2)</f>
        <v>43794</v>
      </c>
      <c r="M1" s="8">
        <f>IF(Input!M$2="","",Input!M$2)</f>
        <v>43801</v>
      </c>
      <c r="N1" s="8">
        <f>IF(Input!N$2="","",Input!N$2)</f>
        <v>43808</v>
      </c>
      <c r="O1" s="8">
        <f>IF(Input!O$2="","",Input!O$2)</f>
        <v>43815</v>
      </c>
      <c r="P1" s="8">
        <f>IF(Input!P$2="","",Input!P$2)</f>
        <v>43822</v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3">
      <c r="A2" s="6" t="str">
        <f>IF('Burndown Chart'!$L$2="","Planned Effort",'Burndown Chart'!$L$2)</f>
        <v>Planned Effort</v>
      </c>
      <c r="B2" s="7">
        <f>SUM(Input!$B$3:$B$202)</f>
        <v>38</v>
      </c>
      <c r="C2" s="4">
        <f t="shared" ref="C2:AH2" si="0">IF(C$1="","",B$2-$B$2/(SUMPRODUCT(--($C$1:$BJ$1&lt;&gt;""))))</f>
        <v>35.285714285714285</v>
      </c>
      <c r="D2" s="4">
        <f t="shared" si="0"/>
        <v>32.571428571428569</v>
      </c>
      <c r="E2" s="4">
        <f t="shared" si="0"/>
        <v>29.857142857142854</v>
      </c>
      <c r="F2" s="4">
        <f t="shared" si="0"/>
        <v>27.142857142857139</v>
      </c>
      <c r="G2" s="4">
        <f t="shared" si="0"/>
        <v>24.428571428571423</v>
      </c>
      <c r="H2" s="4">
        <f t="shared" si="0"/>
        <v>21.714285714285708</v>
      </c>
      <c r="I2" s="4">
        <f t="shared" si="0"/>
        <v>18.999999999999993</v>
      </c>
      <c r="J2" s="4">
        <f t="shared" si="0"/>
        <v>16.285714285714278</v>
      </c>
      <c r="K2" s="4">
        <f t="shared" si="0"/>
        <v>13.571428571428562</v>
      </c>
      <c r="L2" s="4">
        <f t="shared" si="0"/>
        <v>10.857142857142847</v>
      </c>
      <c r="M2" s="4">
        <f t="shared" si="0"/>
        <v>8.1428571428571317</v>
      </c>
      <c r="N2" s="4">
        <f t="shared" si="0"/>
        <v>5.4285714285714173</v>
      </c>
      <c r="O2" s="4">
        <f t="shared" si="0"/>
        <v>2.7142857142857029</v>
      </c>
      <c r="P2" s="4">
        <f t="shared" si="0"/>
        <v>-1.1546319456101628E-14</v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3">
      <c r="A3" s="6" t="str">
        <f>IF('Burndown Chart'!$L$3="","Hours Remaining",'Burndown Chart'!$L$3)</f>
        <v>Hours Remaining</v>
      </c>
      <c r="B3" s="7">
        <f>SUM(Input!$B$3:$B$202)</f>
        <v>38</v>
      </c>
      <c r="C3" s="4">
        <f>IF(C$1="","",SUM(Input!C$3:C$202))</f>
        <v>0</v>
      </c>
      <c r="D3" s="4">
        <f>IF(D$1="","",SUM(Input!D$3:D$202))</f>
        <v>0</v>
      </c>
      <c r="E3" s="4">
        <f>IF(E$1="","",SUM(Input!E$3:E$202))</f>
        <v>0</v>
      </c>
      <c r="F3" s="4">
        <f>IF(F$1="","",SUM(Input!F$3:F$202))</f>
        <v>0</v>
      </c>
      <c r="G3" s="4">
        <f>IF(G$1="","",SUM(Input!G$3:G$202))</f>
        <v>0</v>
      </c>
      <c r="H3" s="4">
        <f>IF(H$1="","",SUM(Input!H$3:H$202))</f>
        <v>0</v>
      </c>
      <c r="I3" s="4">
        <f>IF(I$1="","",SUM(Input!I$3:I$202))</f>
        <v>0</v>
      </c>
      <c r="J3" s="4">
        <f>IF(J$1="","",SUM(Input!J$3:J$202))</f>
        <v>0</v>
      </c>
      <c r="K3" s="4">
        <f>IF(K$1="","",SUM(Input!K$3:K$202))</f>
        <v>0</v>
      </c>
      <c r="L3" s="4">
        <f>IF(L$1="","",SUM(Input!L$3:L$202))</f>
        <v>0</v>
      </c>
      <c r="M3" s="4">
        <f>IF(M$1="","",SUM(Input!M$3:M$202))</f>
        <v>0</v>
      </c>
      <c r="N3" s="4">
        <f>IF(N$1="","",SUM(Input!N$3:N$202))</f>
        <v>0</v>
      </c>
      <c r="O3" s="4">
        <f>IF(O$1="","",SUM(Input!O$3:O$202))</f>
        <v>0</v>
      </c>
      <c r="P3" s="4">
        <f>IF(P$1="","",SUM(Input!P$3:P$202))</f>
        <v>0</v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3">
      <c r="A4" s="1" t="s">
        <v>5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0</v>
      </c>
      <c r="F4">
        <f ca="1">IF(F$1="","",CountCTs(Input!F$3:F$202))</f>
        <v>0</v>
      </c>
      <c r="G4">
        <f ca="1">IF(G$1="","",CountCTs(Input!G$3:G$202))</f>
        <v>0</v>
      </c>
      <c r="H4">
        <f ca="1">IF(H$1="","",CountCTs(Input!H$3:H$202))</f>
        <v>0</v>
      </c>
      <c r="I4">
        <f ca="1">IF(I$1="","",CountCTs(Input!I$3:I$202))</f>
        <v>0</v>
      </c>
      <c r="J4">
        <f ca="1">IF(J$1="","",CountCTs(Input!J$3:J$202))</f>
        <v>0</v>
      </c>
      <c r="K4">
        <f ca="1">IF(K$1="","",CountCTs(Input!K$3:K$202))</f>
        <v>0</v>
      </c>
      <c r="L4">
        <f ca="1">IF(L$1="","",CountCTs(Input!L$3:L$202))</f>
        <v>0</v>
      </c>
      <c r="M4">
        <f ca="1">IF(M$1="","",CountCTs(Input!M$3:M$202))</f>
        <v>0</v>
      </c>
      <c r="N4">
        <f ca="1">IF(N$1="","",CountCTs(Input!N$3:N$202))</f>
        <v>0</v>
      </c>
      <c r="O4">
        <f ca="1">IF(O$1="","",CountCTs(Input!O$3:O$202))</f>
        <v>0</v>
      </c>
      <c r="P4">
        <f ca="1">IF(P$1="","",CountCTs(Input!P$3:P$202))</f>
        <v>0</v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3">
      <c r="A5" s="1" t="s">
        <v>6</v>
      </c>
      <c r="B5" s="2">
        <f>SUMPRODUCT(--(Input!$A$3:$A$202&lt;&gt;""))</f>
        <v>6</v>
      </c>
      <c r="C5">
        <f ca="1">IF(C$1="","",B$5-C4)</f>
        <v>6</v>
      </c>
      <c r="D5">
        <f t="shared" ref="D5:BJ5" ca="1" si="2">IF(D$1="","",C$5-D4)</f>
        <v>6</v>
      </c>
      <c r="E5">
        <f t="shared" ca="1" si="2"/>
        <v>6</v>
      </c>
      <c r="F5">
        <f t="shared" ca="1" si="2"/>
        <v>6</v>
      </c>
      <c r="G5">
        <f t="shared" ca="1" si="2"/>
        <v>6</v>
      </c>
      <c r="H5">
        <f t="shared" ca="1" si="2"/>
        <v>6</v>
      </c>
      <c r="I5">
        <f t="shared" ca="1" si="2"/>
        <v>6</v>
      </c>
      <c r="J5">
        <f t="shared" ca="1" si="2"/>
        <v>6</v>
      </c>
      <c r="K5">
        <f t="shared" ca="1" si="2"/>
        <v>6</v>
      </c>
      <c r="L5">
        <f t="shared" ca="1" si="2"/>
        <v>6</v>
      </c>
      <c r="M5">
        <f t="shared" ca="1" si="2"/>
        <v>6</v>
      </c>
      <c r="N5">
        <f t="shared" ca="1" si="2"/>
        <v>6</v>
      </c>
      <c r="O5">
        <f t="shared" ca="1" si="2"/>
        <v>6</v>
      </c>
      <c r="P5">
        <f t="shared" ca="1" si="2"/>
        <v>6</v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3">
      <c r="A7"/>
    </row>
    <row r="8" spans="1:62" x14ac:dyDescent="0.3">
      <c r="A8"/>
    </row>
    <row r="9" spans="1:62" x14ac:dyDescent="0.3">
      <c r="A9"/>
    </row>
    <row r="10" spans="1:62" x14ac:dyDescent="0.3">
      <c r="A10"/>
    </row>
    <row r="11" spans="1:62" x14ac:dyDescent="0.3">
      <c r="A11"/>
    </row>
    <row r="12" spans="1:62" x14ac:dyDescent="0.3">
      <c r="A12"/>
    </row>
    <row r="13" spans="1:62" x14ac:dyDescent="0.3">
      <c r="A13"/>
    </row>
    <row r="14" spans="1:62" x14ac:dyDescent="0.3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Arno</cp:lastModifiedBy>
  <cp:lastPrinted>2016-02-23T08:42:38Z</cp:lastPrinted>
  <dcterms:created xsi:type="dcterms:W3CDTF">2016-02-23T08:35:30Z</dcterms:created>
  <dcterms:modified xsi:type="dcterms:W3CDTF">2019-10-02T11:47:19Z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cb48e632-7929-46a6-aa9f-2f678a67a7e2</vt:lpwstr>
  </property>
</Properties>
</file>